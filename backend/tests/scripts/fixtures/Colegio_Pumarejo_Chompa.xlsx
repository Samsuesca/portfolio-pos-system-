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as" sheetId="1" r:id="rId5"/>
    <sheet state="visible" name="Insumos" sheetId="2" r:id="rId6"/>
    <sheet state="visible" name="Consumo Tela" sheetId="3" r:id="rId7"/>
    <sheet state="visible" name="Total por Talla" sheetId="4" r:id="rId8"/>
  </sheets>
  <definedNames/>
  <calcPr/>
</workbook>
</file>

<file path=xl/sharedStrings.xml><?xml version="1.0" encoding="utf-8"?>
<sst xmlns="http://schemas.openxmlformats.org/spreadsheetml/2006/main" count="55" uniqueCount="49">
  <si>
    <t>COLEGIO PUMAREJO - CHOMPA</t>
  </si>
  <si>
    <t>Tela</t>
  </si>
  <si>
    <t>Tipo</t>
  </si>
  <si>
    <t>Colores</t>
  </si>
  <si>
    <t>Precio por metro</t>
  </si>
  <si>
    <t>Antifluido Azul Noche</t>
  </si>
  <si>
    <t>Principal</t>
  </si>
  <si>
    <t>Azul Noche</t>
  </si>
  <si>
    <t>Forro Vascanil</t>
  </si>
  <si>
    <t>Forro</t>
  </si>
  <si>
    <t>Azul</t>
  </si>
  <si>
    <t>Sesgo Empitado Amarillo y Verde</t>
  </si>
  <si>
    <t>Complemento</t>
  </si>
  <si>
    <t>Amarillo / Verde</t>
  </si>
  <si>
    <t>INSUMOS Y CONFECCION</t>
  </si>
  <si>
    <t>Concepto</t>
  </si>
  <si>
    <t>Valor</t>
  </si>
  <si>
    <t>Notas</t>
  </si>
  <si>
    <t>Corte</t>
  </si>
  <si>
    <t>Bordado</t>
  </si>
  <si>
    <t>Marquilla logo y talla</t>
  </si>
  <si>
    <t>Bolsa y cinta</t>
  </si>
  <si>
    <t>Cierre separable Numericas</t>
  </si>
  <si>
    <t>Tallas 6-16</t>
  </si>
  <si>
    <t>Cierre separable Letras</t>
  </si>
  <si>
    <t>Tallas S-XXL</t>
  </si>
  <si>
    <t>Confeccion</t>
  </si>
  <si>
    <t>Todas las tallas</t>
  </si>
  <si>
    <t>TOTAL Tallas Numericas (6-16)</t>
  </si>
  <si>
    <t>TOTAL Tallas Letras (S-XXL)</t>
  </si>
  <si>
    <t>CONSUMO DE TELA POR TALLA</t>
  </si>
  <si>
    <t>Talla</t>
  </si>
  <si>
    <t>Antifluido (cm)</t>
  </si>
  <si>
    <t>Unidades</t>
  </si>
  <si>
    <t>Costo corte</t>
  </si>
  <si>
    <t>Antifluido c/u</t>
  </si>
  <si>
    <t>Forro c/u</t>
  </si>
  <si>
    <t>Largo hombro (cm)</t>
  </si>
  <si>
    <t>Sesgo empitado c/u</t>
  </si>
  <si>
    <t>TALLAS NUMERICAS (6-16) - Cierre $1,910 / Confeccion $9,000</t>
  </si>
  <si>
    <t>TALLAS LETRAS (S-XXL) - Cierre $2,100 / Confeccion $9,000</t>
  </si>
  <si>
    <t>S</t>
  </si>
  <si>
    <t>M</t>
  </si>
  <si>
    <t>L</t>
  </si>
  <si>
    <t>XL</t>
  </si>
  <si>
    <t>XXL</t>
  </si>
  <si>
    <t>COSTO TOTAL UNITARIO POR TALLA</t>
  </si>
  <si>
    <t>Insumos + Confeccion</t>
  </si>
  <si>
    <t>TOTAL UNITARIO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</si>
</sst>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.##0"/>
    <numFmt numFmtId="165" formatCode="&quot;$&quot;#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FFFFCC"/>
        <bgColor rgb="FFFFFFCC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164" xfId="0" applyFont="1" applyNumberFormat="1"/>
    <xf borderId="1" fillId="3" fontId="2" numFmtId="0" xfId="0" applyBorder="1" applyFill="1" applyFont="1"/>
    <xf borderId="1" fillId="3" fontId="2" numFmtId="164" xfId="0" applyBorder="1" applyFont="1" applyNumberFormat="1"/>
    <xf borderId="2" fillId="2" fontId="2" numFmtId="0" xfId="0" applyBorder="1" applyFont="1"/>
    <xf borderId="3" fillId="0" fontId="5" numFmtId="0" xfId="0" applyBorder="1" applyFont="1"/>
    <xf borderId="4" fillId="0" fontId="5" numFmtId="0" xfId="0" applyBorder="1" applyFont="1"/>
    <xf borderId="0" fillId="0" fontId="2" numFmtId="165" xfId="0" applyFont="1" applyNumberFormat="1"/>
    <xf borderId="3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4.57"/>
    <col customWidth="1" min="3" max="3" width="16.57"/>
    <col customWidth="1" min="4" max="4" width="18.57"/>
    <col customWidth="1" min="5" max="26" width="10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</row>
    <row r="4" ht="14.25" customHeight="1">
      <c r="A4" s="3" t="s">
        <v>5</v>
      </c>
      <c r="B4" s="3" t="s">
        <v>6</v>
      </c>
      <c r="C4" s="3" t="s">
        <v>7</v>
      </c>
      <c r="D4" s="4">
        <v>8800.0</v>
      </c>
    </row>
    <row r="5" ht="14.25" customHeight="1">
      <c r="A5" s="3" t="s">
        <v>8</v>
      </c>
      <c r="B5" s="3" t="s">
        <v>9</v>
      </c>
      <c r="C5" s="3" t="s">
        <v>10</v>
      </c>
      <c r="D5" s="4">
        <v>4600.0</v>
      </c>
    </row>
    <row r="6" ht="14.25" customHeight="1">
      <c r="A6" s="3" t="s">
        <v>11</v>
      </c>
      <c r="B6" s="3" t="s">
        <v>12</v>
      </c>
      <c r="C6" s="3" t="s">
        <v>13</v>
      </c>
      <c r="D6" s="4">
        <v>350.0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4.57"/>
    <col customWidth="1" min="3" max="3" width="20.57"/>
    <col customWidth="1" min="4" max="26" width="10.71"/>
  </cols>
  <sheetData>
    <row r="1" ht="14.25" customHeight="1">
      <c r="A1" s="1" t="s">
        <v>14</v>
      </c>
    </row>
    <row r="2" ht="14.25" customHeight="1"/>
    <row r="3" ht="14.25" customHeight="1">
      <c r="A3" s="2" t="s">
        <v>15</v>
      </c>
      <c r="B3" s="2" t="s">
        <v>16</v>
      </c>
      <c r="C3" s="2" t="s">
        <v>17</v>
      </c>
    </row>
    <row r="4" ht="14.25" customHeight="1">
      <c r="A4" s="3" t="s">
        <v>18</v>
      </c>
      <c r="B4" s="4">
        <v>1000.0</v>
      </c>
    </row>
    <row r="5" ht="14.25" customHeight="1">
      <c r="A5" s="3" t="s">
        <v>19</v>
      </c>
      <c r="B5" s="4">
        <v>2300.0</v>
      </c>
    </row>
    <row r="6" ht="14.25" customHeight="1">
      <c r="A6" s="3" t="s">
        <v>20</v>
      </c>
      <c r="B6" s="4">
        <v>200.0</v>
      </c>
    </row>
    <row r="7" ht="14.25" customHeight="1">
      <c r="A7" s="3" t="s">
        <v>21</v>
      </c>
      <c r="B7" s="4">
        <v>100.0</v>
      </c>
    </row>
    <row r="8" ht="14.25" customHeight="1">
      <c r="A8" s="3" t="s">
        <v>22</v>
      </c>
      <c r="B8" s="4">
        <v>1910.0</v>
      </c>
      <c r="C8" s="3" t="s">
        <v>23</v>
      </c>
    </row>
    <row r="9" ht="14.25" customHeight="1">
      <c r="A9" s="3" t="s">
        <v>24</v>
      </c>
      <c r="B9" s="4">
        <v>2100.0</v>
      </c>
      <c r="C9" s="3" t="s">
        <v>25</v>
      </c>
    </row>
    <row r="10" ht="14.25" customHeight="1">
      <c r="A10" s="3" t="s">
        <v>26</v>
      </c>
      <c r="B10" s="4">
        <v>9000.0</v>
      </c>
      <c r="C10" s="3" t="s">
        <v>27</v>
      </c>
    </row>
    <row r="11" ht="14.25" customHeight="1">
      <c r="A11" s="5" t="s">
        <v>28</v>
      </c>
      <c r="B11" s="6">
        <f>SUM(B4:B8)+B10</f>
        <v>14510</v>
      </c>
      <c r="C11" s="5"/>
    </row>
    <row r="12" ht="14.25" customHeight="1">
      <c r="A12" s="5" t="s">
        <v>29</v>
      </c>
      <c r="B12" s="6">
        <f>SUM(B4:B7)+B9+B10</f>
        <v>14700</v>
      </c>
      <c r="C12" s="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57"/>
    <col customWidth="1" min="3" max="3" width="10.57"/>
    <col customWidth="1" min="4" max="4" width="18.57"/>
    <col customWidth="1" min="5" max="5" width="16.57"/>
    <col customWidth="1" min="6" max="6" width="14.57"/>
    <col customWidth="1" min="7" max="7" width="18.57"/>
    <col customWidth="1" min="8" max="8" width="20.57"/>
    <col customWidth="1" min="9" max="26" width="10.71"/>
  </cols>
  <sheetData>
    <row r="1" ht="14.25" customHeight="1">
      <c r="A1" s="1" t="s">
        <v>30</v>
      </c>
    </row>
    <row r="2" ht="14.25" customHeight="1"/>
    <row r="3" ht="14.25" customHeight="1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</row>
    <row r="4" ht="14.25" customHeight="1">
      <c r="A4" s="7" t="s">
        <v>39</v>
      </c>
      <c r="B4" s="8"/>
      <c r="C4" s="8"/>
      <c r="D4" s="8"/>
      <c r="E4" s="8"/>
      <c r="F4" s="8"/>
      <c r="G4" s="8"/>
      <c r="H4" s="9"/>
    </row>
    <row r="5" ht="14.25" customHeight="1">
      <c r="A5" s="3">
        <v>6.0</v>
      </c>
      <c r="B5" s="3">
        <v>105.0</v>
      </c>
      <c r="C5" s="3">
        <v>1.0</v>
      </c>
      <c r="D5" s="4">
        <f>(B5/100)*Telas!$D$4</f>
        <v>9240</v>
      </c>
      <c r="E5" s="4">
        <f t="shared" ref="E5:E10" si="1">D5/C5</f>
        <v>9240</v>
      </c>
      <c r="F5" s="4">
        <f>(B5/100)*Telas!$D$5</f>
        <v>4830</v>
      </c>
      <c r="G5" s="3">
        <v>14.0</v>
      </c>
      <c r="H5" s="4">
        <f>(G5/100)*4*Telas!$D$6</f>
        <v>196</v>
      </c>
    </row>
    <row r="6" ht="14.25" customHeight="1">
      <c r="A6" s="3">
        <v>8.0</v>
      </c>
      <c r="B6" s="3">
        <v>107.0</v>
      </c>
      <c r="C6" s="3">
        <v>1.0</v>
      </c>
      <c r="D6" s="4">
        <f>(B6/100)*Telas!$D$4</f>
        <v>9416</v>
      </c>
      <c r="E6" s="4">
        <f t="shared" si="1"/>
        <v>9416</v>
      </c>
      <c r="F6" s="4">
        <f>(B6/100)*Telas!$D$5</f>
        <v>4922</v>
      </c>
      <c r="G6" s="3">
        <v>15.0</v>
      </c>
      <c r="H6" s="4">
        <f>(G6/100)*4*Telas!$D$6</f>
        <v>210</v>
      </c>
    </row>
    <row r="7" ht="14.25" customHeight="1">
      <c r="A7" s="3">
        <v>10.0</v>
      </c>
      <c r="B7" s="3">
        <v>115.0</v>
      </c>
      <c r="C7" s="3">
        <v>1.0</v>
      </c>
      <c r="D7" s="4">
        <f>(B7/100)*Telas!$D$4</f>
        <v>10120</v>
      </c>
      <c r="E7" s="4">
        <f t="shared" si="1"/>
        <v>10120</v>
      </c>
      <c r="F7" s="4">
        <f>(B7/100)*Telas!$D$5</f>
        <v>5290</v>
      </c>
      <c r="G7" s="3">
        <v>16.0</v>
      </c>
      <c r="H7" s="4">
        <f>(G7/100)*4*Telas!$D$6</f>
        <v>224</v>
      </c>
    </row>
    <row r="8" ht="14.25" customHeight="1">
      <c r="A8" s="3">
        <v>12.0</v>
      </c>
      <c r="B8" s="3">
        <v>119.0</v>
      </c>
      <c r="C8" s="3">
        <v>1.0</v>
      </c>
      <c r="D8" s="4">
        <f>(B8/100)*Telas!$D$4</f>
        <v>10472</v>
      </c>
      <c r="E8" s="4">
        <f t="shared" si="1"/>
        <v>10472</v>
      </c>
      <c r="F8" s="4">
        <f>(B8/100)*Telas!$D$5</f>
        <v>5474</v>
      </c>
      <c r="G8" s="3">
        <v>17.0</v>
      </c>
      <c r="H8" s="4">
        <f>(G8/100)*4*Telas!$D$6</f>
        <v>238</v>
      </c>
    </row>
    <row r="9" ht="14.25" customHeight="1">
      <c r="A9" s="3">
        <v>14.0</v>
      </c>
      <c r="B9" s="3">
        <v>124.0</v>
      </c>
      <c r="C9" s="3">
        <v>1.0</v>
      </c>
      <c r="D9" s="4">
        <f>(B9/100)*Telas!$D$4</f>
        <v>10912</v>
      </c>
      <c r="E9" s="4">
        <f t="shared" si="1"/>
        <v>10912</v>
      </c>
      <c r="F9" s="4">
        <f>(B9/100)*Telas!$D$5</f>
        <v>5704</v>
      </c>
      <c r="G9" s="3">
        <v>18.0</v>
      </c>
      <c r="H9" s="4">
        <f>(G9/100)*4*Telas!$D$6</f>
        <v>252</v>
      </c>
    </row>
    <row r="10" ht="14.25" customHeight="1">
      <c r="A10" s="3">
        <v>16.0</v>
      </c>
      <c r="B10" s="3">
        <v>127.0</v>
      </c>
      <c r="C10" s="3">
        <v>1.0</v>
      </c>
      <c r="D10" s="4">
        <f>(B10/100)*Telas!$D$4</f>
        <v>11176</v>
      </c>
      <c r="E10" s="4">
        <f t="shared" si="1"/>
        <v>11176</v>
      </c>
      <c r="F10" s="4">
        <f>(B10/100)*Telas!$D$5</f>
        <v>5842</v>
      </c>
      <c r="G10" s="3">
        <v>20.0</v>
      </c>
      <c r="H10" s="4">
        <f>(G10/100)*4*Telas!$D$6</f>
        <v>280</v>
      </c>
    </row>
    <row r="11" ht="14.25" customHeight="1">
      <c r="A11" s="7" t="s">
        <v>40</v>
      </c>
      <c r="B11" s="8"/>
      <c r="C11" s="8"/>
      <c r="D11" s="8"/>
      <c r="E11" s="8"/>
      <c r="F11" s="8"/>
      <c r="G11" s="8"/>
      <c r="H11" s="9"/>
    </row>
    <row r="12" ht="14.25" customHeight="1">
      <c r="A12" s="3" t="s">
        <v>41</v>
      </c>
      <c r="B12" s="3">
        <v>135.0</v>
      </c>
      <c r="C12" s="3">
        <v>1.0</v>
      </c>
      <c r="D12" s="4">
        <f>(B12/100)*Telas!$D$4</f>
        <v>11880</v>
      </c>
      <c r="E12" s="4">
        <f t="shared" ref="E12:E16" si="2">D12/C12</f>
        <v>11880</v>
      </c>
      <c r="F12" s="4">
        <f>(B12/100)*Telas!$D$5</f>
        <v>6210</v>
      </c>
      <c r="G12" s="3">
        <v>21.0</v>
      </c>
      <c r="H12" s="4">
        <f>(G12/100)*4*Telas!$D$6</f>
        <v>294</v>
      </c>
    </row>
    <row r="13" ht="14.25" customHeight="1">
      <c r="A13" s="3" t="s">
        <v>42</v>
      </c>
      <c r="B13" s="3">
        <v>140.0</v>
      </c>
      <c r="C13" s="3">
        <v>1.0</v>
      </c>
      <c r="D13" s="4">
        <f>(B13/100)*Telas!$D$4</f>
        <v>12320</v>
      </c>
      <c r="E13" s="4">
        <f t="shared" si="2"/>
        <v>12320</v>
      </c>
      <c r="F13" s="4">
        <f>(B13/100)*Telas!$D$5</f>
        <v>6440</v>
      </c>
      <c r="G13" s="3">
        <v>22.0</v>
      </c>
      <c r="H13" s="4">
        <f>(G13/100)*4*Telas!$D$6</f>
        <v>308</v>
      </c>
    </row>
    <row r="14" ht="14.25" customHeight="1">
      <c r="A14" s="3" t="s">
        <v>43</v>
      </c>
      <c r="B14" s="3">
        <v>145.0</v>
      </c>
      <c r="C14" s="3">
        <v>1.0</v>
      </c>
      <c r="D14" s="4">
        <f>(B14/100)*Telas!$D$4</f>
        <v>12760</v>
      </c>
      <c r="E14" s="4">
        <f t="shared" si="2"/>
        <v>12760</v>
      </c>
      <c r="F14" s="4">
        <f>(B14/100)*Telas!$D$5</f>
        <v>6670</v>
      </c>
      <c r="G14" s="3">
        <v>23.0</v>
      </c>
      <c r="H14" s="4">
        <f>(G14/100)*4*Telas!$D$6</f>
        <v>322</v>
      </c>
    </row>
    <row r="15" ht="14.25" customHeight="1">
      <c r="A15" s="3" t="s">
        <v>44</v>
      </c>
      <c r="B15" s="3">
        <v>155.0</v>
      </c>
      <c r="C15" s="3">
        <v>1.0</v>
      </c>
      <c r="D15" s="4">
        <f>(B15/100)*Telas!$D$4</f>
        <v>13640</v>
      </c>
      <c r="E15" s="4">
        <f t="shared" si="2"/>
        <v>13640</v>
      </c>
      <c r="F15" s="4">
        <f>(B15/100)*Telas!$D$5</f>
        <v>7130</v>
      </c>
      <c r="G15" s="3">
        <v>24.0</v>
      </c>
      <c r="H15" s="4">
        <f>(G15/100)*4*Telas!$D$6</f>
        <v>336</v>
      </c>
    </row>
    <row r="16" ht="14.25" customHeight="1">
      <c r="A16" s="3" t="s">
        <v>45</v>
      </c>
      <c r="B16" s="3">
        <v>170.0</v>
      </c>
      <c r="C16" s="3">
        <v>1.0</v>
      </c>
      <c r="D16" s="4">
        <f>(B16/100)*Telas!$D$4</f>
        <v>14960</v>
      </c>
      <c r="E16" s="4">
        <f t="shared" si="2"/>
        <v>14960</v>
      </c>
      <c r="F16" s="4">
        <f>(B16/100)*Telas!$D$5</f>
        <v>7820</v>
      </c>
      <c r="G16" s="3">
        <v>25.0</v>
      </c>
      <c r="H16" s="4">
        <f>(G16/100)*4*Telas!$D$6</f>
        <v>350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4:H4"/>
    <mergeCell ref="A11:H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8.57"/>
    <col customWidth="1" min="3" max="3" width="14.57"/>
    <col customWidth="1" min="4" max="4" width="20.57"/>
    <col customWidth="1" min="5" max="5" width="22.57"/>
    <col customWidth="1" min="6" max="6" width="18.57"/>
    <col customWidth="1" min="7" max="26" width="10.71"/>
  </cols>
  <sheetData>
    <row r="1" ht="14.25" customHeight="1">
      <c r="A1" s="1" t="s">
        <v>46</v>
      </c>
    </row>
    <row r="2" ht="14.25" customHeight="1"/>
    <row r="3" ht="14.25" customHeight="1">
      <c r="A3" s="2" t="s">
        <v>31</v>
      </c>
      <c r="B3" s="2" t="s">
        <v>35</v>
      </c>
      <c r="C3" s="2" t="s">
        <v>36</v>
      </c>
      <c r="D3" s="2" t="s">
        <v>38</v>
      </c>
      <c r="E3" s="2" t="s">
        <v>47</v>
      </c>
      <c r="F3" s="2" t="s">
        <v>48</v>
      </c>
    </row>
    <row r="4" ht="14.25" customHeight="1">
      <c r="A4" s="7" t="s">
        <v>39</v>
      </c>
      <c r="B4" s="8"/>
      <c r="C4" s="8"/>
      <c r="D4" s="8"/>
      <c r="E4" s="8"/>
      <c r="F4" s="9"/>
    </row>
    <row r="5" ht="14.25" customHeight="1">
      <c r="A5" s="3">
        <f>'Consumo Tela'!A5</f>
        <v>6</v>
      </c>
      <c r="B5" s="4">
        <f>'Consumo Tela'!E5</f>
        <v>9240</v>
      </c>
      <c r="C5" s="4">
        <f>'Consumo Tela'!F5</f>
        <v>4830</v>
      </c>
      <c r="D5" s="4">
        <f>'Consumo Tela'!H5</f>
        <v>196</v>
      </c>
      <c r="E5" s="4">
        <f>Insumos!B11</f>
        <v>14510</v>
      </c>
      <c r="F5" s="10">
        <f t="shared" ref="F5:F16" si="1">B5+C5+D5+E5</f>
        <v>28776</v>
      </c>
    </row>
    <row r="6" ht="14.25" customHeight="1">
      <c r="A6" s="3">
        <f>'Consumo Tela'!A6</f>
        <v>8</v>
      </c>
      <c r="B6" s="4">
        <f>'Consumo Tela'!E6</f>
        <v>9416</v>
      </c>
      <c r="C6" s="4">
        <f>'Consumo Tela'!F6</f>
        <v>4922</v>
      </c>
      <c r="D6" s="4">
        <f>'Consumo Tela'!H6</f>
        <v>210</v>
      </c>
      <c r="E6" s="4">
        <f>Insumos!B11</f>
        <v>14510</v>
      </c>
      <c r="F6" s="10">
        <f t="shared" si="1"/>
        <v>29058</v>
      </c>
    </row>
    <row r="7" ht="14.25" customHeight="1">
      <c r="A7" s="3">
        <f>'Consumo Tela'!A7</f>
        <v>10</v>
      </c>
      <c r="B7" s="4">
        <f>'Consumo Tela'!E7</f>
        <v>10120</v>
      </c>
      <c r="C7" s="4">
        <f>'Consumo Tela'!F7</f>
        <v>5290</v>
      </c>
      <c r="D7" s="4">
        <f>'Consumo Tela'!H7</f>
        <v>224</v>
      </c>
      <c r="E7" s="4">
        <f>Insumos!B11</f>
        <v>14510</v>
      </c>
      <c r="F7" s="10">
        <f t="shared" si="1"/>
        <v>30144</v>
      </c>
    </row>
    <row r="8" ht="14.25" customHeight="1">
      <c r="A8" s="3">
        <f>'Consumo Tela'!A8</f>
        <v>12</v>
      </c>
      <c r="B8" s="4">
        <f>'Consumo Tela'!E8</f>
        <v>10472</v>
      </c>
      <c r="C8" s="4">
        <f>'Consumo Tela'!F8</f>
        <v>5474</v>
      </c>
      <c r="D8" s="4">
        <f>'Consumo Tela'!H8</f>
        <v>238</v>
      </c>
      <c r="E8" s="4">
        <f>Insumos!B11</f>
        <v>14510</v>
      </c>
      <c r="F8" s="10">
        <f t="shared" si="1"/>
        <v>30694</v>
      </c>
    </row>
    <row r="9" ht="14.25" customHeight="1">
      <c r="A9" s="3">
        <f>'Consumo Tela'!A9</f>
        <v>14</v>
      </c>
      <c r="B9" s="4">
        <f>'Consumo Tela'!E9</f>
        <v>10912</v>
      </c>
      <c r="C9" s="4">
        <f>'Consumo Tela'!F9</f>
        <v>5704</v>
      </c>
      <c r="D9" s="4">
        <f>'Consumo Tela'!H9</f>
        <v>252</v>
      </c>
      <c r="E9" s="4">
        <f>Insumos!B11</f>
        <v>14510</v>
      </c>
      <c r="F9" s="10">
        <f t="shared" si="1"/>
        <v>31378</v>
      </c>
    </row>
    <row r="10" ht="14.25" customHeight="1">
      <c r="A10" s="3">
        <f>'Consumo Tela'!A10</f>
        <v>16</v>
      </c>
      <c r="B10" s="4">
        <f>'Consumo Tela'!E10</f>
        <v>11176</v>
      </c>
      <c r="C10" s="4">
        <f>'Consumo Tela'!F10</f>
        <v>5842</v>
      </c>
      <c r="D10" s="4">
        <f>'Consumo Tela'!H10</f>
        <v>280</v>
      </c>
      <c r="E10" s="4">
        <f>Insumos!B11</f>
        <v>14510</v>
      </c>
      <c r="F10" s="10">
        <f t="shared" si="1"/>
        <v>31808</v>
      </c>
    </row>
    <row r="11" ht="14.25" customHeight="1">
      <c r="A11" s="7" t="s">
        <v>40</v>
      </c>
      <c r="B11" s="11"/>
      <c r="C11" s="11"/>
      <c r="D11" s="11"/>
      <c r="E11" s="11"/>
      <c r="F11" s="10">
        <f t="shared" si="1"/>
        <v>0</v>
      </c>
    </row>
    <row r="12" ht="14.25" customHeight="1">
      <c r="A12" s="3" t="str">
        <f>'Consumo Tela'!A12</f>
        <v>S</v>
      </c>
      <c r="B12" s="4">
        <f>'Consumo Tela'!E12</f>
        <v>11880</v>
      </c>
      <c r="C12" s="4">
        <f>'Consumo Tela'!F12</f>
        <v>6210</v>
      </c>
      <c r="D12" s="4">
        <f>'Consumo Tela'!H12</f>
        <v>294</v>
      </c>
      <c r="E12" s="4">
        <f>Insumos!B12</f>
        <v>14700</v>
      </c>
      <c r="F12" s="10">
        <f t="shared" si="1"/>
        <v>33084</v>
      </c>
    </row>
    <row r="13" ht="14.25" customHeight="1">
      <c r="A13" s="3" t="str">
        <f>'Consumo Tela'!A13</f>
        <v>M</v>
      </c>
      <c r="B13" s="4">
        <f>'Consumo Tela'!E13</f>
        <v>12320</v>
      </c>
      <c r="C13" s="4">
        <f>'Consumo Tela'!F13</f>
        <v>6440</v>
      </c>
      <c r="D13" s="4">
        <f>'Consumo Tela'!H13</f>
        <v>308</v>
      </c>
      <c r="E13" s="4">
        <f>Insumos!B12</f>
        <v>14700</v>
      </c>
      <c r="F13" s="10">
        <f t="shared" si="1"/>
        <v>33768</v>
      </c>
    </row>
    <row r="14" ht="14.25" customHeight="1">
      <c r="A14" s="3" t="str">
        <f>'Consumo Tela'!A14</f>
        <v>L</v>
      </c>
      <c r="B14" s="4">
        <f>'Consumo Tela'!E14</f>
        <v>12760</v>
      </c>
      <c r="C14" s="4">
        <f>'Consumo Tela'!F14</f>
        <v>6670</v>
      </c>
      <c r="D14" s="4">
        <f>'Consumo Tela'!H14</f>
        <v>322</v>
      </c>
      <c r="E14" s="4">
        <f>Insumos!B12</f>
        <v>14700</v>
      </c>
      <c r="F14" s="10">
        <f t="shared" si="1"/>
        <v>34452</v>
      </c>
    </row>
    <row r="15" ht="14.25" customHeight="1">
      <c r="A15" s="3" t="str">
        <f>'Consumo Tela'!A15</f>
        <v>XL</v>
      </c>
      <c r="B15" s="4">
        <f>'Consumo Tela'!E15</f>
        <v>13640</v>
      </c>
      <c r="C15" s="4">
        <f>'Consumo Tela'!F15</f>
        <v>7130</v>
      </c>
      <c r="D15" s="4">
        <f>'Consumo Tela'!H15</f>
        <v>336</v>
      </c>
      <c r="E15" s="4">
        <f>Insumos!B12</f>
        <v>14700</v>
      </c>
      <c r="F15" s="10">
        <f t="shared" si="1"/>
        <v>35806</v>
      </c>
    </row>
    <row r="16" ht="14.25" customHeight="1">
      <c r="A16" s="3" t="str">
        <f>'Consumo Tela'!A16</f>
        <v>XXL</v>
      </c>
      <c r="B16" s="4">
        <f>'Consumo Tela'!E16</f>
        <v>14960</v>
      </c>
      <c r="C16" s="4">
        <f>'Consumo Tela'!F16</f>
        <v>7820</v>
      </c>
      <c r="D16" s="4">
        <f>'Consumo Tela'!H16</f>
        <v>350</v>
      </c>
      <c r="E16" s="4">
        <f>Insumos!B12</f>
        <v>14700</v>
      </c>
      <c r="F16" s="10">
        <f t="shared" si="1"/>
        <v>37830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4:F4"/>
  </mergeCells>
  <printOptions/>
  <pageMargins bottom="0.75" footer="0.0" header="0.0" left="0.7" right="0.7" top="0.75"/>
  <pageSetup orientation="landscape"/>
  <drawing r:id="rId1"/>
</worksheet>
</file>