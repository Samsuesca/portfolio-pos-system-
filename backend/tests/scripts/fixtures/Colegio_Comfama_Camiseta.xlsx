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as" sheetId="1" r:id="rId5"/>
    <sheet state="visible" name="Insumos" sheetId="2" r:id="rId6"/>
    <sheet state="visible" name="Consumo Tela" sheetId="3" r:id="rId7"/>
    <sheet state="visible" name="Total por Talla" sheetId="4" r:id="rId8"/>
  </sheets>
  <definedNames/>
  <calcPr/>
</workbook>
</file>

<file path=xl/sharedStrings.xml><?xml version="1.0" encoding="utf-8"?>
<sst xmlns="http://schemas.openxmlformats.org/spreadsheetml/2006/main" count="48" uniqueCount="41">
  <si>
    <t>COLEGIO COMFAMA - CAMISETA</t>
  </si>
  <si>
    <t>Tela</t>
  </si>
  <si>
    <t>Tipo</t>
  </si>
  <si>
    <t>Colores</t>
  </si>
  <si>
    <t>Precio por metro</t>
  </si>
  <si>
    <t>Lacost</t>
  </si>
  <si>
    <t>Principal</t>
  </si>
  <si>
    <t>Blanco</t>
  </si>
  <si>
    <t>Poli/Lacost</t>
  </si>
  <si>
    <t>Amarillo, Morado, Fucsia</t>
  </si>
  <si>
    <t>INSUMOS Y CONFECCION</t>
  </si>
  <si>
    <t>Concepto</t>
  </si>
  <si>
    <t>Valor</t>
  </si>
  <si>
    <t>Notas</t>
  </si>
  <si>
    <t>Marquilla logo</t>
  </si>
  <si>
    <t>Subtotal con talla = $200</t>
  </si>
  <si>
    <t>Talla c/u</t>
  </si>
  <si>
    <t>Subtotal con marquilla = $200</t>
  </si>
  <si>
    <t>Confeccion</t>
  </si>
  <si>
    <t>Bolsa + cinta</t>
  </si>
  <si>
    <t>Subtotal con broche = $300</t>
  </si>
  <si>
    <t>Bordado</t>
  </si>
  <si>
    <t>Broche</t>
  </si>
  <si>
    <t>Subtotal con bolsa = $300</t>
  </si>
  <si>
    <t>Corte</t>
  </si>
  <si>
    <t>TOTAL INSUMOS</t>
  </si>
  <si>
    <t>CONSUMO DE TELA POR TALLA</t>
  </si>
  <si>
    <t>Talla</t>
  </si>
  <si>
    <t>Tela Lacost (cm)</t>
  </si>
  <si>
    <t>Unidades por corte</t>
  </si>
  <si>
    <t>Costo total corte</t>
  </si>
  <si>
    <t>Costo tela c/u</t>
  </si>
  <si>
    <t>Pendiente</t>
  </si>
  <si>
    <t>TELA COMPLEMENTO (RIB) - colores</t>
  </si>
  <si>
    <t>Todas</t>
  </si>
  <si>
    <t>COSTO TOTAL UNITARIO POR TALLA</t>
  </si>
  <si>
    <t>Tela Lacost c/u</t>
  </si>
  <si>
    <t>Tela RIB c/u</t>
  </si>
  <si>
    <t>Insumos + Confeccion</t>
  </si>
  <si>
    <t>TOTAL UNITARIO</t>
  </si>
  <si>
    <t>Nota: Talla 10 pendiente - falta consumo de tela en la fuente original.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</si>
</sst>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.##0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FFFFCC"/>
        <bgColor rgb="FFFFFFCC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164" xfId="0" applyFont="1" applyNumberFormat="1"/>
    <xf borderId="1" fillId="3" fontId="2" numFmtId="0" xfId="0" applyBorder="1" applyFill="1" applyFont="1"/>
    <xf borderId="1" fillId="3" fontId="2" numFmtId="164" xfId="0" applyBorder="1" applyFont="1" applyNumberFormat="1"/>
    <xf borderId="2" fillId="2" fontId="2" numFmtId="0" xfId="0" applyBorder="1" applyFont="1"/>
    <xf borderId="3" fillId="0" fontId="5" numFmtId="0" xfId="0" applyBorder="1" applyFont="1"/>
    <xf borderId="4" fillId="0" fontId="5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57"/>
    <col customWidth="1" min="3" max="3" width="30.57"/>
    <col customWidth="1" min="4" max="4" width="18.57"/>
    <col customWidth="1" min="5" max="26" width="10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</row>
    <row r="4" ht="14.25" customHeight="1">
      <c r="A4" s="3" t="s">
        <v>5</v>
      </c>
      <c r="B4" s="3" t="s">
        <v>6</v>
      </c>
      <c r="C4" s="3" t="s">
        <v>7</v>
      </c>
      <c r="D4" s="4">
        <v>17900.0</v>
      </c>
    </row>
    <row r="5" ht="14.25" customHeight="1">
      <c r="A5" s="3" t="s">
        <v>8</v>
      </c>
      <c r="B5" s="3" t="s">
        <v>3</v>
      </c>
      <c r="C5" s="3" t="s">
        <v>9</v>
      </c>
      <c r="D5" s="4">
        <v>11400.0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4.57"/>
    <col customWidth="1" min="3" max="3" width="32.57"/>
    <col customWidth="1" min="4" max="26" width="10.71"/>
  </cols>
  <sheetData>
    <row r="1" ht="14.25" customHeight="1">
      <c r="A1" s="1" t="s">
        <v>10</v>
      </c>
    </row>
    <row r="2" ht="14.25" customHeight="1"/>
    <row r="3" ht="14.25" customHeight="1">
      <c r="A3" s="2" t="s">
        <v>11</v>
      </c>
      <c r="B3" s="2" t="s">
        <v>12</v>
      </c>
      <c r="C3" s="2" t="s">
        <v>13</v>
      </c>
    </row>
    <row r="4" ht="14.25" customHeight="1">
      <c r="A4" s="3" t="s">
        <v>14</v>
      </c>
      <c r="B4" s="4">
        <v>170.0</v>
      </c>
      <c r="C4" s="3" t="s">
        <v>15</v>
      </c>
    </row>
    <row r="5" ht="14.25" customHeight="1">
      <c r="A5" s="3" t="s">
        <v>16</v>
      </c>
      <c r="B5" s="4">
        <v>30.0</v>
      </c>
      <c r="C5" s="3" t="s">
        <v>17</v>
      </c>
    </row>
    <row r="6" ht="14.25" customHeight="1">
      <c r="A6" s="3" t="s">
        <v>18</v>
      </c>
      <c r="B6" s="4">
        <v>4000.0</v>
      </c>
    </row>
    <row r="7" ht="14.25" customHeight="1">
      <c r="A7" s="3" t="s">
        <v>19</v>
      </c>
      <c r="B7" s="4">
        <v>100.0</v>
      </c>
      <c r="C7" s="3" t="s">
        <v>20</v>
      </c>
    </row>
    <row r="8" ht="14.25" customHeight="1">
      <c r="A8" s="3" t="s">
        <v>21</v>
      </c>
      <c r="B8" s="4">
        <v>1200.0</v>
      </c>
    </row>
    <row r="9" ht="14.25" customHeight="1">
      <c r="A9" s="3" t="s">
        <v>22</v>
      </c>
      <c r="B9" s="4">
        <v>200.0</v>
      </c>
      <c r="C9" s="3" t="s">
        <v>23</v>
      </c>
    </row>
    <row r="10" ht="14.25" customHeight="1">
      <c r="A10" s="3" t="s">
        <v>24</v>
      </c>
      <c r="B10" s="4">
        <v>1000.0</v>
      </c>
    </row>
    <row r="11" ht="14.25" customHeight="1">
      <c r="A11" s="5" t="s">
        <v>25</v>
      </c>
      <c r="B11" s="6">
        <f>SUM(B4:B10)</f>
        <v>6700</v>
      </c>
      <c r="C11" s="5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5" width="18.57"/>
    <col customWidth="1" min="6" max="26" width="10.71"/>
  </cols>
  <sheetData>
    <row r="1" ht="14.25" customHeight="1">
      <c r="A1" s="1" t="s">
        <v>26</v>
      </c>
    </row>
    <row r="2" ht="14.25" customHeight="1"/>
    <row r="3" ht="14.25" customHeight="1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</row>
    <row r="4" ht="14.25" customHeight="1">
      <c r="A4" s="3">
        <v>2.0</v>
      </c>
      <c r="B4" s="3">
        <v>60.0</v>
      </c>
      <c r="C4" s="3">
        <v>2.0</v>
      </c>
      <c r="D4" s="4">
        <f>(B4/100)*Telas!$D$4</f>
        <v>10740</v>
      </c>
      <c r="E4" s="4">
        <f t="shared" ref="E4:E7" si="1">D4/C4</f>
        <v>5370</v>
      </c>
    </row>
    <row r="5" ht="14.25" customHeight="1">
      <c r="A5" s="3">
        <v>4.0</v>
      </c>
      <c r="B5" s="3">
        <v>65.0</v>
      </c>
      <c r="C5" s="3">
        <v>2.0</v>
      </c>
      <c r="D5" s="4">
        <f>(B5/100)*Telas!$D$4</f>
        <v>11635</v>
      </c>
      <c r="E5" s="4">
        <f t="shared" si="1"/>
        <v>5817.5</v>
      </c>
    </row>
    <row r="6" ht="14.25" customHeight="1">
      <c r="A6" s="3">
        <v>6.0</v>
      </c>
      <c r="B6" s="3">
        <v>70.0</v>
      </c>
      <c r="C6" s="3">
        <v>2.0</v>
      </c>
      <c r="D6" s="4">
        <f>(B6/100)*Telas!$D$4</f>
        <v>12530</v>
      </c>
      <c r="E6" s="4">
        <f t="shared" si="1"/>
        <v>6265</v>
      </c>
    </row>
    <row r="7" ht="14.25" customHeight="1">
      <c r="A7" s="3">
        <v>8.0</v>
      </c>
      <c r="B7" s="3">
        <v>75.0</v>
      </c>
      <c r="C7" s="3">
        <v>2.0</v>
      </c>
      <c r="D7" s="4">
        <f>(B7/100)*Telas!$D$4</f>
        <v>13425</v>
      </c>
      <c r="E7" s="4">
        <f t="shared" si="1"/>
        <v>6712.5</v>
      </c>
    </row>
    <row r="8" ht="14.25" customHeight="1">
      <c r="A8" s="3">
        <v>10.0</v>
      </c>
      <c r="B8" s="3" t="s">
        <v>32</v>
      </c>
      <c r="C8" s="3" t="s">
        <v>32</v>
      </c>
      <c r="D8" s="4" t="s">
        <v>32</v>
      </c>
      <c r="E8" s="4" t="s">
        <v>32</v>
      </c>
    </row>
    <row r="9" ht="14.25" customHeight="1">
      <c r="D9" s="4"/>
      <c r="E9" s="4"/>
    </row>
    <row r="10" ht="14.25" customHeight="1">
      <c r="A10" s="7" t="s">
        <v>33</v>
      </c>
      <c r="B10" s="8"/>
      <c r="C10" s="8"/>
      <c r="D10" s="8"/>
      <c r="E10" s="9"/>
    </row>
    <row r="11" ht="14.25" customHeight="1">
      <c r="A11" s="3" t="s">
        <v>34</v>
      </c>
      <c r="B11" s="3">
        <v>20.0</v>
      </c>
      <c r="C11" s="3">
        <v>1.0</v>
      </c>
      <c r="D11" s="4">
        <v>2300.0</v>
      </c>
      <c r="E11" s="4">
        <v>2300.0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10:E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3" width="18.57"/>
    <col customWidth="1" min="4" max="4" width="22.57"/>
    <col customWidth="1" min="5" max="5" width="20.57"/>
    <col customWidth="1" min="6" max="26" width="10.71"/>
  </cols>
  <sheetData>
    <row r="1" ht="14.25" customHeight="1">
      <c r="A1" s="1" t="s">
        <v>35</v>
      </c>
    </row>
    <row r="2" ht="14.25" customHeight="1"/>
    <row r="3" ht="14.25" customHeight="1">
      <c r="A3" s="2" t="s">
        <v>27</v>
      </c>
      <c r="B3" s="2" t="s">
        <v>36</v>
      </c>
      <c r="C3" s="2" t="s">
        <v>37</v>
      </c>
      <c r="D3" s="2" t="s">
        <v>38</v>
      </c>
      <c r="E3" s="2" t="s">
        <v>39</v>
      </c>
    </row>
    <row r="4" ht="14.25" customHeight="1">
      <c r="A4" s="3">
        <f>'Consumo Tela'!A4</f>
        <v>2</v>
      </c>
      <c r="B4" s="4">
        <f>'Consumo Tela'!E4</f>
        <v>5370</v>
      </c>
      <c r="C4" s="4">
        <f>'Consumo Tela'!E11</f>
        <v>2300</v>
      </c>
      <c r="D4" s="4">
        <f>Insumos!B11</f>
        <v>6700</v>
      </c>
      <c r="E4" s="6">
        <f t="shared" ref="E4:E7" si="1">B4+C4+D4</f>
        <v>14370</v>
      </c>
    </row>
    <row r="5" ht="14.25" customHeight="1">
      <c r="A5" s="3">
        <f>'Consumo Tela'!A5</f>
        <v>4</v>
      </c>
      <c r="B5" s="4">
        <f>'Consumo Tela'!E5</f>
        <v>5817.5</v>
      </c>
      <c r="C5" s="4">
        <f>'Consumo Tela'!E11</f>
        <v>2300</v>
      </c>
      <c r="D5" s="4">
        <f>Insumos!B11</f>
        <v>6700</v>
      </c>
      <c r="E5" s="6">
        <f t="shared" si="1"/>
        <v>14817.5</v>
      </c>
    </row>
    <row r="6" ht="14.25" customHeight="1">
      <c r="A6" s="3">
        <f>'Consumo Tela'!A6</f>
        <v>6</v>
      </c>
      <c r="B6" s="4">
        <f>'Consumo Tela'!E6</f>
        <v>6265</v>
      </c>
      <c r="C6" s="4">
        <f>'Consumo Tela'!E11</f>
        <v>2300</v>
      </c>
      <c r="D6" s="4">
        <f>Insumos!B11</f>
        <v>6700</v>
      </c>
      <c r="E6" s="6">
        <f t="shared" si="1"/>
        <v>15265</v>
      </c>
    </row>
    <row r="7" ht="14.25" customHeight="1">
      <c r="A7" s="3">
        <f>'Consumo Tela'!A7</f>
        <v>8</v>
      </c>
      <c r="B7" s="4">
        <f>'Consumo Tela'!E7</f>
        <v>6712.5</v>
      </c>
      <c r="C7" s="4">
        <f>'Consumo Tela'!E11</f>
        <v>2300</v>
      </c>
      <c r="D7" s="4">
        <f>Insumos!B11</f>
        <v>6700</v>
      </c>
      <c r="E7" s="6">
        <f t="shared" si="1"/>
        <v>15712.5</v>
      </c>
    </row>
    <row r="8" ht="14.25" customHeight="1">
      <c r="A8" s="3">
        <f>'Consumo Tela'!A8</f>
        <v>10</v>
      </c>
      <c r="B8" s="4" t="s">
        <v>32</v>
      </c>
      <c r="C8" s="4">
        <f>'Consumo Tela'!E11</f>
        <v>2300</v>
      </c>
      <c r="D8" s="4">
        <f>Insumos!B11</f>
        <v>6700</v>
      </c>
      <c r="E8" s="6" t="s">
        <v>32</v>
      </c>
    </row>
    <row r="9" ht="14.25" customHeight="1"/>
    <row r="10" ht="14.25" customHeight="1"/>
    <row r="11" ht="14.25" customHeight="1">
      <c r="A11" s="10" t="s">
        <v>40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11:E11"/>
  </mergeCells>
  <printOptions/>
  <pageMargins bottom="0.75" footer="0.0" header="0.0" left="0.7" right="0.7" top="0.75"/>
  <pageSetup orientation="landscape"/>
  <drawing r:id="rId1"/>
</worksheet>
</file>